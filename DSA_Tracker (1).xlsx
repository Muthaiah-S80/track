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4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etup" sheetId="1" state="visible" r:id="rId3"/>
    <sheet name="Daily Log" sheetId="2" state="visible" r:id="rId4"/>
    <sheet name="Weekend Challenge" sheetId="3" state="visible" r:id="rId5"/>
    <sheet name="Leaderboard" sheetId="4" state="visible" r:id="rId6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<sst xmlns="http://schemas.openxmlformats.org/spreadsheetml/2006/main" count="38" uniqueCount="34">
  <si>
    <t xml:space="preserve">DSA Tracker — Setup</t>
  </si>
  <si>
    <t xml:space="preserve">Fill in your names here — they flow into every other sheet automatically.</t>
  </si>
  <si>
    <t xml:space="preserve">Person 1 name</t>
  </si>
  <si>
    <t xml:space="preserve">Alex</t>
  </si>
  <si>
    <t xml:space="preserve">Person 2 name</t>
  </si>
  <si>
    <t xml:space="preserve">Sam</t>
  </si>
  <si>
    <t xml:space="preserve">How this works</t>
  </si>
  <si>
    <t xml:space="preserve">1. Daily Log — Mon to Fri, each of you ticks Y/N for whether you revised, plus a short note on what.</t>
  </si>
  <si>
    <t xml:space="preserve">2. Weekend Challenge — Sat/Sun, both attempt the same problem, then talk it over. Whoever's solution is quicker, cleaner, or more optimized gets the point. Genuine tie = both get it.</t>
  </si>
  <si>
    <t xml:space="preserve">3. Leaderboard — totals update automatically from the two sheets above. Nothing to fill in there.</t>
  </si>
  <si>
    <t xml:space="preserve">Yellow cells are for you to fill in. Everything else is a formula — leave it alone.</t>
  </si>
  <si>
    <t xml:space="preserve">Y/N cells have a dropdown — click the cell and pick from the list instead of typing.</t>
  </si>
  <si>
    <t xml:space="preserve">Leaderboard has a points-over-time chart, fed by the two of you filling in Weekend Challenge.</t>
  </si>
  <si>
    <t xml:space="preserve">Daily Revision Log</t>
  </si>
  <si>
    <t xml:space="preserve">Tick Y once you've revised your selected topic that day. Sat/Sun rows are shaded — log your challenge on the Weekend Challenge sheet instead.</t>
  </si>
  <si>
    <t xml:space="preserve">Date</t>
  </si>
  <si>
    <t xml:space="preserve">Day</t>
  </si>
  <si>
    <t xml:space="preserve">Y</t>
  </si>
  <si>
    <t xml:space="preserve">Arrays + Two Pointers, 5 problems</t>
  </si>
  <si>
    <t xml:space="preserve">Arrays, revised sliding window</t>
  </si>
  <si>
    <t xml:space="preserve">Weekend Challenge</t>
  </si>
  <si>
    <t xml:space="preserve">Both of you attempt the problem, then talk it over — quickest, cleanest, or most optimized solution gets the point. If it's a genuine tie, award both.</t>
  </si>
  <si>
    <t xml:space="preserve">Problem</t>
  </si>
  <si>
    <t xml:space="preserve">Link</t>
  </si>
  <si>
    <t xml:space="preserve">Why (quick / clean / optimized / tie)</t>
  </si>
  <si>
    <t xml:space="preserve">Longest Substring Without Repeating Characters (example)</t>
  </si>
  <si>
    <t xml:space="preserve">leetcode.com/problems/longest-substring-without-repeating-characters</t>
  </si>
  <si>
    <t xml:space="preserve">Tie — both O(n) one-pass, same approach</t>
  </si>
  <si>
    <t xml:space="preserve">Leaderboard</t>
  </si>
  <si>
    <t xml:space="preserve">Everything here is a formula pulling from the other two sheets — nothing to fill in.</t>
  </si>
  <si>
    <t xml:space="preserve">Person</t>
  </si>
  <si>
    <t xml:space="preserve">Challenge Points</t>
  </si>
  <si>
    <t xml:space="preserve">Days Revised (Mon-Fri)</t>
  </si>
  <si>
    <t xml:space="preserve">Leading: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</si>
</sst>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dd\-mmm\-yy"/>
  </numFmts>
  <fonts count="1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1F3324"/>
      <name val="Arial"/>
      <family val="0"/>
      <charset val="1"/>
    </font>
    <font>
      <i val="true"/>
      <sz val="10"/>
      <color rgb="FF666666"/>
      <name val="Arial"/>
      <family val="0"/>
      <charset val="1"/>
    </font>
    <font>
      <b val="true"/>
      <sz val="11"/>
      <name val="Arial"/>
      <family val="0"/>
      <charset val="1"/>
    </font>
    <font>
      <i val="true"/>
      <sz val="10"/>
      <color rgb="FF0000FF"/>
      <name val="Arial"/>
      <family val="0"/>
      <charset val="1"/>
    </font>
    <font>
      <b val="true"/>
      <sz val="12"/>
      <name val="Arial"/>
      <family val="0"/>
      <charset val="1"/>
    </font>
    <font>
      <sz val="10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0"/>
      <color rgb="FF000000"/>
      <name val="Arial"/>
      <family val="0"/>
      <charset val="1"/>
    </font>
    <font>
      <i val="true"/>
      <sz val="9"/>
      <color rgb="FF999999"/>
      <name val="Arial"/>
      <family val="0"/>
      <charset val="1"/>
    </font>
    <font>
      <sz val="11"/>
      <name val="Arial"/>
      <family val="0"/>
      <charset val="1"/>
    </font>
    <font>
      <b val="true"/>
      <sz val="12"/>
      <color rgb="FF1F3324"/>
      <name val="Arial"/>
      <family val="0"/>
      <charset val="1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b val="true"/>
      <sz val="10"/>
      <color rgb="FF000000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FFF9C4"/>
        <bgColor rgb="FFFDEBEC"/>
      </patternFill>
    </fill>
    <fill>
      <patternFill patternType="solid">
        <fgColor rgb="FF1F3324"/>
        <bgColor rgb="FF333300"/>
      </patternFill>
    </fill>
    <fill>
      <patternFill patternType="solid">
        <fgColor rgb="FFFDEBEC"/>
        <bgColor rgb="FFFF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11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1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3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CCCCC"/>
      <rgbColor rgb="FF878787"/>
      <rgbColor rgb="FF9999FF"/>
      <rgbColor rgb="FFAA433F"/>
      <rgbColor rgb="FFFFF9C4"/>
      <rgbColor rgb="FFCCFFFF"/>
      <rgbColor rgb="FF660066"/>
      <rgbColor rgb="FFCC8F8E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DEBEC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66"/>
      <rgbColor rgb="FF999999"/>
      <rgbColor rgb="FF003366"/>
      <rgbColor rgb="FF339966"/>
      <rgbColor rgb="FF003300"/>
      <rgbColor rgb="FF333300"/>
      <rgbColor rgb="FF993300"/>
      <rgbColor rgb="FF993366"/>
      <rgbColor rgb="FF333399"/>
      <rgbColor rgb="FF1F3324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Points over time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'Weekend Challenge'!I4</c:f>
              <c:strCache>
                <c:ptCount val="1"/>
                <c:pt idx="0">
                  <c:v>Alex cumulative</c:v>
                </c:pt>
              </c:strCache>
            </c:strRef>
          </c:tx>
          <c:spPr>
            <a:solidFill>
              <a:srgbClr val="aa433f"/>
            </a:solidFill>
            <a:ln w="47520">
              <a:solidFill>
                <a:srgbClr val="aa433f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'Weekend Challenge'!$A$5:$A$34</c:f>
              <c:strCache>
                <c:ptCount val="30"/>
                <c:pt idx="0">
                  <c:v>08-Sep-26</c:v>
                </c:pt>
                <c:pt idx="1">
                  <c:v/>
                </c:pt>
                <c:pt idx="2">
                  <c:v/>
                </c:pt>
                <c:pt idx="3">
                  <c:v/>
                </c:pt>
                <c:pt idx="4">
                  <c:v/>
                </c:pt>
                <c:pt idx="5">
                  <c:v/>
                </c:pt>
                <c:pt idx="6">
                  <c:v/>
                </c:pt>
                <c:pt idx="7">
                  <c:v/>
                </c:pt>
                <c:pt idx="8">
                  <c:v/>
                </c:pt>
                <c:pt idx="9">
                  <c:v/>
                </c:pt>
                <c:pt idx="10">
                  <c:v/>
                </c:pt>
                <c:pt idx="11">
                  <c:v/>
                </c:pt>
                <c:pt idx="12">
                  <c:v/>
                </c:pt>
                <c:pt idx="13">
                  <c:v/>
                </c:pt>
                <c:pt idx="14">
                  <c:v/>
                </c:pt>
                <c:pt idx="15">
                  <c:v/>
                </c:pt>
                <c:pt idx="16">
                  <c:v/>
                </c:pt>
                <c:pt idx="17">
                  <c:v/>
                </c:pt>
                <c:pt idx="18">
                  <c:v/>
                </c:pt>
                <c:pt idx="19">
                  <c:v/>
                </c:pt>
                <c:pt idx="20">
                  <c:v/>
                </c:pt>
                <c:pt idx="21">
                  <c:v/>
                </c:pt>
                <c:pt idx="22">
                  <c:v/>
                </c:pt>
                <c:pt idx="23">
                  <c:v/>
                </c:pt>
                <c:pt idx="24">
                  <c:v/>
                </c:pt>
                <c:pt idx="25">
                  <c:v/>
                </c:pt>
                <c:pt idx="26">
                  <c:v/>
                </c:pt>
                <c:pt idx="27">
                  <c:v/>
                </c:pt>
                <c:pt idx="28">
                  <c:v/>
                </c:pt>
                <c:pt idx="29">
                  <c:v/>
                </c:pt>
              </c:strCache>
            </c:strRef>
          </c:cat>
          <c:val>
            <c:numRef>
              <c:f>'Weekend Challenge'!$I$5:$I$34</c:f>
              <c:numCache>
                <c:formatCode>General</c:formatCode>
                <c:ptCount val="30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  <c:pt idx="7">
                  <c:v>1</c:v>
                </c:pt>
                <c:pt idx="8">
                  <c:v>1</c:v>
                </c:pt>
                <c:pt idx="9">
                  <c:v>1</c:v>
                </c:pt>
                <c:pt idx="10">
                  <c:v>1</c:v>
                </c:pt>
                <c:pt idx="11">
                  <c:v>1</c:v>
                </c:pt>
                <c:pt idx="12">
                  <c:v>1</c:v>
                </c:pt>
                <c:pt idx="13">
                  <c:v>1</c:v>
                </c:pt>
                <c:pt idx="14">
                  <c:v>1</c:v>
                </c:pt>
                <c:pt idx="15">
                  <c:v>1</c:v>
                </c:pt>
                <c:pt idx="16">
                  <c:v>1</c:v>
                </c:pt>
                <c:pt idx="17">
                  <c:v>1</c:v>
                </c:pt>
                <c:pt idx="18">
                  <c:v>1</c:v>
                </c:pt>
                <c:pt idx="19">
                  <c:v>1</c:v>
                </c:pt>
                <c:pt idx="20">
                  <c:v>1</c:v>
                </c:pt>
                <c:pt idx="21">
                  <c:v>1</c:v>
                </c:pt>
                <c:pt idx="22">
                  <c:v>1</c:v>
                </c:pt>
                <c:pt idx="23">
                  <c:v>1</c:v>
                </c:pt>
                <c:pt idx="24">
                  <c:v>1</c:v>
                </c:pt>
                <c:pt idx="25">
                  <c:v>1</c:v>
                </c:pt>
                <c:pt idx="26">
                  <c:v>1</c:v>
                </c:pt>
                <c:pt idx="27">
                  <c:v>1</c:v>
                </c:pt>
                <c:pt idx="28">
                  <c:v>1</c:v>
                </c:pt>
                <c:pt idx="29">
                  <c:v>1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'Weekend Challenge'!J4</c:f>
              <c:strCache>
                <c:ptCount val="1"/>
                <c:pt idx="0">
                  <c:v>Sam cumulative</c:v>
                </c:pt>
              </c:strCache>
            </c:strRef>
          </c:tx>
          <c:spPr>
            <a:solidFill>
              <a:srgbClr val="cc8f8e"/>
            </a:solidFill>
            <a:ln w="47520">
              <a:solidFill>
                <a:srgbClr val="cc8f8e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'Weekend Challenge'!$A$5:$A$34</c:f>
              <c:strCache>
                <c:ptCount val="30"/>
                <c:pt idx="0">
                  <c:v>08-Sep-26</c:v>
                </c:pt>
                <c:pt idx="1">
                  <c:v/>
                </c:pt>
                <c:pt idx="2">
                  <c:v/>
                </c:pt>
                <c:pt idx="3">
                  <c:v/>
                </c:pt>
                <c:pt idx="4">
                  <c:v/>
                </c:pt>
                <c:pt idx="5">
                  <c:v/>
                </c:pt>
                <c:pt idx="6">
                  <c:v/>
                </c:pt>
                <c:pt idx="7">
                  <c:v/>
                </c:pt>
                <c:pt idx="8">
                  <c:v/>
                </c:pt>
                <c:pt idx="9">
                  <c:v/>
                </c:pt>
                <c:pt idx="10">
                  <c:v/>
                </c:pt>
                <c:pt idx="11">
                  <c:v/>
                </c:pt>
                <c:pt idx="12">
                  <c:v/>
                </c:pt>
                <c:pt idx="13">
                  <c:v/>
                </c:pt>
                <c:pt idx="14">
                  <c:v/>
                </c:pt>
                <c:pt idx="15">
                  <c:v/>
                </c:pt>
                <c:pt idx="16">
                  <c:v/>
                </c:pt>
                <c:pt idx="17">
                  <c:v/>
                </c:pt>
                <c:pt idx="18">
                  <c:v/>
                </c:pt>
                <c:pt idx="19">
                  <c:v/>
                </c:pt>
                <c:pt idx="20">
                  <c:v/>
                </c:pt>
                <c:pt idx="21">
                  <c:v/>
                </c:pt>
                <c:pt idx="22">
                  <c:v/>
                </c:pt>
                <c:pt idx="23">
                  <c:v/>
                </c:pt>
                <c:pt idx="24">
                  <c:v/>
                </c:pt>
                <c:pt idx="25">
                  <c:v/>
                </c:pt>
                <c:pt idx="26">
                  <c:v/>
                </c:pt>
                <c:pt idx="27">
                  <c:v/>
                </c:pt>
                <c:pt idx="28">
                  <c:v/>
                </c:pt>
                <c:pt idx="29">
                  <c:v/>
                </c:pt>
              </c:strCache>
            </c:strRef>
          </c:cat>
          <c:val>
            <c:numRef>
              <c:f>'Weekend Challenge'!$J$5:$J$34</c:f>
              <c:numCache>
                <c:formatCode>General</c:formatCode>
                <c:ptCount val="30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  <c:pt idx="7">
                  <c:v>1</c:v>
                </c:pt>
                <c:pt idx="8">
                  <c:v>1</c:v>
                </c:pt>
                <c:pt idx="9">
                  <c:v>1</c:v>
                </c:pt>
                <c:pt idx="10">
                  <c:v>1</c:v>
                </c:pt>
                <c:pt idx="11">
                  <c:v>1</c:v>
                </c:pt>
                <c:pt idx="12">
                  <c:v>1</c:v>
                </c:pt>
                <c:pt idx="13">
                  <c:v>1</c:v>
                </c:pt>
                <c:pt idx="14">
                  <c:v>1</c:v>
                </c:pt>
                <c:pt idx="15">
                  <c:v>1</c:v>
                </c:pt>
                <c:pt idx="16">
                  <c:v>1</c:v>
                </c:pt>
                <c:pt idx="17">
                  <c:v>1</c:v>
                </c:pt>
                <c:pt idx="18">
                  <c:v>1</c:v>
                </c:pt>
                <c:pt idx="19">
                  <c:v>1</c:v>
                </c:pt>
                <c:pt idx="20">
                  <c:v>1</c:v>
                </c:pt>
                <c:pt idx="21">
                  <c:v>1</c:v>
                </c:pt>
                <c:pt idx="22">
                  <c:v>1</c:v>
                </c:pt>
                <c:pt idx="23">
                  <c:v>1</c:v>
                </c:pt>
                <c:pt idx="24">
                  <c:v>1</c:v>
                </c:pt>
                <c:pt idx="25">
                  <c:v>1</c:v>
                </c:pt>
                <c:pt idx="26">
                  <c:v>1</c:v>
                </c:pt>
                <c:pt idx="27">
                  <c:v>1</c:v>
                </c:pt>
                <c:pt idx="28">
                  <c:v>1</c:v>
                </c:pt>
                <c:pt idx="29">
                  <c:v>1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0"/>
        <c:axId val="85337552"/>
        <c:axId val="59479851"/>
      </c:lineChart>
      <c:catAx>
        <c:axId val="85337552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Challenge date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dd\-mmm\-yy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59479851"/>
        <c:crosses val="autoZero"/>
        <c:auto val="1"/>
        <c:lblAlgn val="ctr"/>
        <c:lblOffset val="100"/>
        <c:noMultiLvlLbl val="0"/>
      </c:catAx>
      <c:valAx>
        <c:axId val="59479851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Cumulative points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85337552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0</xdr:colOff>
      <xdr:row>9</xdr:row>
      <xdr:rowOff>131040</xdr:rowOff>
    </xdr:from>
    <xdr:to>
      <xdr:col>6</xdr:col>
      <xdr:colOff>133920</xdr:colOff>
      <xdr:row>24</xdr:row>
      <xdr:rowOff>153000</xdr:rowOff>
    </xdr:to>
    <xdr:graphicFrame>
      <xdr:nvGraphicFramePr>
        <xdr:cNvPr id="0" name="Chart 1"/>
        <xdr:cNvGraphicFramePr/>
      </xdr:nvGraphicFramePr>
      <xdr:xfrm>
        <a:off x="0" y="1905120"/>
        <a:ext cx="6479640" cy="287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4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5"/>
    <col collapsed="false" customWidth="true" hidden="false" outlineLevel="0" max="2" min="2" style="0" width="18"/>
  </cols>
  <sheetData>
    <row r="1" customFormat="false" ht="19.7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4" customFormat="false" ht="15" hidden="false" customHeight="false" outlineLevel="0" collapsed="false">
      <c r="A4" s="3" t="s">
        <v>2</v>
      </c>
      <c r="B4" s="4" t="s">
        <v>3</v>
      </c>
    </row>
    <row r="5" customFormat="false" ht="15" hidden="false" customHeight="false" outlineLevel="0" collapsed="false">
      <c r="A5" s="3" t="s">
        <v>4</v>
      </c>
      <c r="B5" s="4" t="s">
        <v>5</v>
      </c>
    </row>
    <row r="7" customFormat="false" ht="15" hidden="false" customHeight="false" outlineLevel="0" collapsed="false">
      <c r="A7" s="5" t="s">
        <v>6</v>
      </c>
    </row>
    <row r="8" customFormat="false" ht="15" hidden="false" customHeight="false" outlineLevel="0" collapsed="false">
      <c r="A8" s="6" t="s">
        <v>7</v>
      </c>
    </row>
    <row r="9" customFormat="false" ht="15" hidden="false" customHeight="false" outlineLevel="0" collapsed="false">
      <c r="A9" s="6" t="s">
        <v>8</v>
      </c>
    </row>
    <row r="10" customFormat="false" ht="15" hidden="false" customHeight="false" outlineLevel="0" collapsed="false">
      <c r="A10" s="6" t="s">
        <v>9</v>
      </c>
    </row>
    <row r="11" customFormat="false" ht="15" hidden="false" customHeight="false" outlineLevel="0" collapsed="false">
      <c r="A11" s="6" t="s">
        <v>10</v>
      </c>
    </row>
    <row r="12" customFormat="false" ht="15" hidden="false" customHeight="false" outlineLevel="0" collapsed="false">
      <c r="A12" s="6" t="s">
        <v>11</v>
      </c>
    </row>
    <row r="13" customFormat="false" ht="15" hidden="false" customHeight="false" outlineLevel="0" collapsed="false">
      <c r="A13" s="6" t="s">
        <v>12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6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16"/>
    <col collapsed="false" customWidth="true" hidden="false" outlineLevel="0" max="3" min="3" style="0" width="14"/>
    <col collapsed="false" customWidth="true" hidden="false" outlineLevel="0" max="4" min="4" style="0" width="34"/>
    <col collapsed="false" customWidth="true" hidden="false" outlineLevel="0" max="5" min="5" style="0" width="14"/>
    <col collapsed="false" customWidth="true" hidden="false" outlineLevel="0" max="6" min="6" style="0" width="34"/>
  </cols>
  <sheetData>
    <row r="1" customFormat="false" ht="19.7" hidden="false" customHeight="false" outlineLevel="0" collapsed="false">
      <c r="A1" s="7" t="s">
        <v>13</v>
      </c>
      <c r="B1" s="7"/>
      <c r="C1" s="7"/>
      <c r="D1" s="7"/>
      <c r="E1" s="7"/>
      <c r="F1" s="7"/>
    </row>
    <row r="2" customFormat="false" ht="15" hidden="false" customHeight="false" outlineLevel="0" collapsed="false">
      <c r="A2" s="8" t="s">
        <v>14</v>
      </c>
      <c r="B2" s="8"/>
      <c r="C2" s="8"/>
      <c r="D2" s="8"/>
      <c r="E2" s="8"/>
      <c r="F2" s="8"/>
    </row>
    <row r="4" customFormat="false" ht="39.55" hidden="false" customHeight="false" outlineLevel="0" collapsed="false">
      <c r="A4" s="9" t="s">
        <v>15</v>
      </c>
      <c r="B4" s="9" t="s">
        <v>16</v>
      </c>
      <c r="C4" s="9" t="str">
        <f aca="false">Setup!$B$4&amp;" Revised? (Y/N)"</f>
        <v>Alex Revised? (Y/N)</v>
      </c>
      <c r="D4" s="9" t="str">
        <f aca="false">Setup!$B$4&amp;" - Notes"</f>
        <v>Alex - Notes</v>
      </c>
      <c r="E4" s="9" t="str">
        <f aca="false">Setup!$B$5&amp;" Revised? (Y/N)"</f>
        <v>Sam Revised? (Y/N)</v>
      </c>
      <c r="F4" s="9" t="str">
        <f aca="false">Setup!$B$5&amp;" - Notes"</f>
        <v>Sam - Notes</v>
      </c>
    </row>
    <row r="5" customFormat="false" ht="15" hidden="false" customHeight="false" outlineLevel="0" collapsed="false">
      <c r="A5" s="10" t="n">
        <v>46272</v>
      </c>
      <c r="B5" s="11" t="str">
        <f aca="false">TEXT(A5,"ddd")&amp;"  (example)"</f>
        <v>Mon  (example)</v>
      </c>
      <c r="C5" s="4" t="s">
        <v>17</v>
      </c>
      <c r="D5" s="4" t="s">
        <v>18</v>
      </c>
      <c r="E5" s="4" t="s">
        <v>17</v>
      </c>
      <c r="F5" s="4" t="s">
        <v>19</v>
      </c>
    </row>
    <row r="6" customFormat="false" ht="15" hidden="false" customHeight="false" outlineLevel="0" collapsed="false">
      <c r="A6" s="10" t="n">
        <v>46273</v>
      </c>
      <c r="B6" s="11" t="str">
        <f aca="false">TEXT(A6,"ddd")</f>
        <v>Tue</v>
      </c>
      <c r="C6" s="12"/>
      <c r="D6" s="12"/>
      <c r="E6" s="12"/>
      <c r="F6" s="12"/>
    </row>
    <row r="7" customFormat="false" ht="15" hidden="false" customHeight="false" outlineLevel="0" collapsed="false">
      <c r="A7" s="10" t="n">
        <v>46274</v>
      </c>
      <c r="B7" s="11" t="str">
        <f aca="false">TEXT(A7,"ddd")</f>
        <v>Wed</v>
      </c>
      <c r="C7" s="12"/>
      <c r="D7" s="12"/>
      <c r="E7" s="12"/>
      <c r="F7" s="12"/>
    </row>
    <row r="8" customFormat="false" ht="15" hidden="false" customHeight="false" outlineLevel="0" collapsed="false">
      <c r="A8" s="10" t="n">
        <v>46275</v>
      </c>
      <c r="B8" s="11" t="str">
        <f aca="false">TEXT(A8,"ddd")</f>
        <v>Thu</v>
      </c>
      <c r="C8" s="12"/>
      <c r="D8" s="12"/>
      <c r="E8" s="12"/>
      <c r="F8" s="12"/>
    </row>
    <row r="9" customFormat="false" ht="15" hidden="false" customHeight="false" outlineLevel="0" collapsed="false">
      <c r="A9" s="10" t="n">
        <v>46276</v>
      </c>
      <c r="B9" s="11" t="str">
        <f aca="false">TEXT(A9,"ddd")</f>
        <v>Fri</v>
      </c>
      <c r="C9" s="12"/>
      <c r="D9" s="12"/>
      <c r="E9" s="12"/>
      <c r="F9" s="12"/>
    </row>
    <row r="10" customFormat="false" ht="15" hidden="false" customHeight="false" outlineLevel="0" collapsed="false">
      <c r="A10" s="13" t="n">
        <v>46277</v>
      </c>
      <c r="B10" s="14" t="str">
        <f aca="false">TEXT(A10,"ddd")</f>
        <v>Sat</v>
      </c>
      <c r="C10" s="14"/>
      <c r="D10" s="14"/>
      <c r="E10" s="14"/>
      <c r="F10" s="14"/>
    </row>
    <row r="11" customFormat="false" ht="15" hidden="false" customHeight="false" outlineLevel="0" collapsed="false">
      <c r="A11" s="13" t="n">
        <v>46278</v>
      </c>
      <c r="B11" s="14" t="str">
        <f aca="false">TEXT(A11,"ddd")</f>
        <v>Sun</v>
      </c>
      <c r="C11" s="14"/>
      <c r="D11" s="14"/>
      <c r="E11" s="14"/>
      <c r="F11" s="14"/>
    </row>
    <row r="12" customFormat="false" ht="15" hidden="false" customHeight="false" outlineLevel="0" collapsed="false">
      <c r="A12" s="10" t="n">
        <v>46279</v>
      </c>
      <c r="B12" s="11" t="str">
        <f aca="false">TEXT(A12,"ddd")</f>
        <v>Mon</v>
      </c>
      <c r="C12" s="12"/>
      <c r="D12" s="12"/>
      <c r="E12" s="12"/>
      <c r="F12" s="12"/>
    </row>
    <row r="13" customFormat="false" ht="15" hidden="false" customHeight="false" outlineLevel="0" collapsed="false">
      <c r="A13" s="10" t="n">
        <v>46280</v>
      </c>
      <c r="B13" s="11" t="str">
        <f aca="false">TEXT(A13,"ddd")</f>
        <v>Tue</v>
      </c>
      <c r="C13" s="12"/>
      <c r="D13" s="12"/>
      <c r="E13" s="12"/>
      <c r="F13" s="12"/>
    </row>
    <row r="14" customFormat="false" ht="15" hidden="false" customHeight="false" outlineLevel="0" collapsed="false">
      <c r="A14" s="10" t="n">
        <v>46281</v>
      </c>
      <c r="B14" s="11" t="str">
        <f aca="false">TEXT(A14,"ddd")</f>
        <v>Wed</v>
      </c>
      <c r="C14" s="12"/>
      <c r="D14" s="12"/>
      <c r="E14" s="12"/>
      <c r="F14" s="12"/>
    </row>
    <row r="15" customFormat="false" ht="15" hidden="false" customHeight="false" outlineLevel="0" collapsed="false">
      <c r="A15" s="10" t="n">
        <v>46282</v>
      </c>
      <c r="B15" s="11" t="str">
        <f aca="false">TEXT(A15,"ddd")</f>
        <v>Thu</v>
      </c>
      <c r="C15" s="12"/>
      <c r="D15" s="12"/>
      <c r="E15" s="12"/>
      <c r="F15" s="12"/>
    </row>
    <row r="16" customFormat="false" ht="15" hidden="false" customHeight="false" outlineLevel="0" collapsed="false">
      <c r="A16" s="10" t="n">
        <v>46283</v>
      </c>
      <c r="B16" s="11" t="str">
        <f aca="false">TEXT(A16,"ddd")</f>
        <v>Fri</v>
      </c>
      <c r="C16" s="12"/>
      <c r="D16" s="12"/>
      <c r="E16" s="12"/>
      <c r="F16" s="12"/>
    </row>
    <row r="17" customFormat="false" ht="15" hidden="false" customHeight="false" outlineLevel="0" collapsed="false">
      <c r="A17" s="13" t="n">
        <v>46284</v>
      </c>
      <c r="B17" s="14" t="str">
        <f aca="false">TEXT(A17,"ddd")</f>
        <v>Sat</v>
      </c>
      <c r="C17" s="14"/>
      <c r="D17" s="14"/>
      <c r="E17" s="14"/>
      <c r="F17" s="14"/>
    </row>
    <row r="18" customFormat="false" ht="15" hidden="false" customHeight="false" outlineLevel="0" collapsed="false">
      <c r="A18" s="13" t="n">
        <v>46285</v>
      </c>
      <c r="B18" s="14" t="str">
        <f aca="false">TEXT(A18,"ddd")</f>
        <v>Sun</v>
      </c>
      <c r="C18" s="14"/>
      <c r="D18" s="14"/>
      <c r="E18" s="14"/>
      <c r="F18" s="14"/>
    </row>
    <row r="19" customFormat="false" ht="15" hidden="false" customHeight="false" outlineLevel="0" collapsed="false">
      <c r="A19" s="10" t="n">
        <v>46286</v>
      </c>
      <c r="B19" s="11" t="str">
        <f aca="false">TEXT(A19,"ddd")</f>
        <v>Mon</v>
      </c>
      <c r="C19" s="12"/>
      <c r="D19" s="12"/>
      <c r="E19" s="12"/>
      <c r="F19" s="12"/>
    </row>
    <row r="20" customFormat="false" ht="15" hidden="false" customHeight="false" outlineLevel="0" collapsed="false">
      <c r="A20" s="10" t="n">
        <v>46287</v>
      </c>
      <c r="B20" s="11" t="str">
        <f aca="false">TEXT(A20,"ddd")</f>
        <v>Tue</v>
      </c>
      <c r="C20" s="12"/>
      <c r="D20" s="12"/>
      <c r="E20" s="12"/>
      <c r="F20" s="12"/>
    </row>
    <row r="21" customFormat="false" ht="15" hidden="false" customHeight="false" outlineLevel="0" collapsed="false">
      <c r="A21" s="10" t="n">
        <v>46288</v>
      </c>
      <c r="B21" s="11" t="str">
        <f aca="false">TEXT(A21,"ddd")</f>
        <v>Wed</v>
      </c>
      <c r="C21" s="12"/>
      <c r="D21" s="12"/>
      <c r="E21" s="12"/>
      <c r="F21" s="12"/>
    </row>
    <row r="22" customFormat="false" ht="15" hidden="false" customHeight="false" outlineLevel="0" collapsed="false">
      <c r="A22" s="10" t="n">
        <v>46289</v>
      </c>
      <c r="B22" s="11" t="str">
        <f aca="false">TEXT(A22,"ddd")</f>
        <v>Thu</v>
      </c>
      <c r="C22" s="12"/>
      <c r="D22" s="12"/>
      <c r="E22" s="12"/>
      <c r="F22" s="12"/>
    </row>
    <row r="23" customFormat="false" ht="15" hidden="false" customHeight="false" outlineLevel="0" collapsed="false">
      <c r="A23" s="10" t="n">
        <v>46290</v>
      </c>
      <c r="B23" s="11" t="str">
        <f aca="false">TEXT(A23,"ddd")</f>
        <v>Fri</v>
      </c>
      <c r="C23" s="12"/>
      <c r="D23" s="12"/>
      <c r="E23" s="12"/>
      <c r="F23" s="12"/>
    </row>
    <row r="24" customFormat="false" ht="15" hidden="false" customHeight="false" outlineLevel="0" collapsed="false">
      <c r="A24" s="13" t="n">
        <v>46291</v>
      </c>
      <c r="B24" s="14" t="str">
        <f aca="false">TEXT(A24,"ddd")</f>
        <v>Sat</v>
      </c>
      <c r="C24" s="14"/>
      <c r="D24" s="14"/>
      <c r="E24" s="14"/>
      <c r="F24" s="14"/>
    </row>
    <row r="25" customFormat="false" ht="15" hidden="false" customHeight="false" outlineLevel="0" collapsed="false">
      <c r="A25" s="13" t="n">
        <v>46292</v>
      </c>
      <c r="B25" s="14" t="str">
        <f aca="false">TEXT(A25,"ddd")</f>
        <v>Sun</v>
      </c>
      <c r="C25" s="14"/>
      <c r="D25" s="14"/>
      <c r="E25" s="14"/>
      <c r="F25" s="14"/>
    </row>
    <row r="26" customFormat="false" ht="15" hidden="false" customHeight="false" outlineLevel="0" collapsed="false">
      <c r="A26" s="10" t="n">
        <v>46293</v>
      </c>
      <c r="B26" s="11" t="str">
        <f aca="false">TEXT(A26,"ddd")</f>
        <v>Mon</v>
      </c>
      <c r="C26" s="12"/>
      <c r="D26" s="12"/>
      <c r="E26" s="12"/>
      <c r="F26" s="12"/>
    </row>
    <row r="27" customFormat="false" ht="15" hidden="false" customHeight="false" outlineLevel="0" collapsed="false">
      <c r="A27" s="10" t="n">
        <v>46294</v>
      </c>
      <c r="B27" s="11" t="str">
        <f aca="false">TEXT(A27,"ddd")</f>
        <v>Tue</v>
      </c>
      <c r="C27" s="12"/>
      <c r="D27" s="12"/>
      <c r="E27" s="12"/>
      <c r="F27" s="12"/>
    </row>
    <row r="28" customFormat="false" ht="15" hidden="false" customHeight="false" outlineLevel="0" collapsed="false">
      <c r="A28" s="10" t="n">
        <v>46295</v>
      </c>
      <c r="B28" s="11" t="str">
        <f aca="false">TEXT(A28,"ddd")</f>
        <v>Wed</v>
      </c>
      <c r="C28" s="12"/>
      <c r="D28" s="12"/>
      <c r="E28" s="12"/>
      <c r="F28" s="12"/>
    </row>
    <row r="29" customFormat="false" ht="15" hidden="false" customHeight="false" outlineLevel="0" collapsed="false">
      <c r="A29" s="10" t="n">
        <v>46296</v>
      </c>
      <c r="B29" s="11" t="str">
        <f aca="false">TEXT(A29,"ddd")</f>
        <v>Thu</v>
      </c>
      <c r="C29" s="12"/>
      <c r="D29" s="12"/>
      <c r="E29" s="12"/>
      <c r="F29" s="12"/>
    </row>
    <row r="30" customFormat="false" ht="15" hidden="false" customHeight="false" outlineLevel="0" collapsed="false">
      <c r="A30" s="10" t="n">
        <v>46297</v>
      </c>
      <c r="B30" s="11" t="str">
        <f aca="false">TEXT(A30,"ddd")</f>
        <v>Fri</v>
      </c>
      <c r="C30" s="12"/>
      <c r="D30" s="12"/>
      <c r="E30" s="12"/>
      <c r="F30" s="12"/>
    </row>
    <row r="31" customFormat="false" ht="15" hidden="false" customHeight="false" outlineLevel="0" collapsed="false">
      <c r="A31" s="13" t="n">
        <v>46298</v>
      </c>
      <c r="B31" s="14" t="str">
        <f aca="false">TEXT(A31,"ddd")</f>
        <v>Sat</v>
      </c>
      <c r="C31" s="14"/>
      <c r="D31" s="14"/>
      <c r="E31" s="14"/>
      <c r="F31" s="14"/>
    </row>
    <row r="32" customFormat="false" ht="15" hidden="false" customHeight="false" outlineLevel="0" collapsed="false">
      <c r="A32" s="13" t="n">
        <v>46299</v>
      </c>
      <c r="B32" s="14" t="str">
        <f aca="false">TEXT(A32,"ddd")</f>
        <v>Sun</v>
      </c>
      <c r="C32" s="14"/>
      <c r="D32" s="14"/>
      <c r="E32" s="14"/>
      <c r="F32" s="14"/>
    </row>
    <row r="33" customFormat="false" ht="15" hidden="false" customHeight="false" outlineLevel="0" collapsed="false">
      <c r="A33" s="10" t="n">
        <v>46300</v>
      </c>
      <c r="B33" s="11" t="str">
        <f aca="false">TEXT(A33,"ddd")</f>
        <v>Mon</v>
      </c>
      <c r="C33" s="12"/>
      <c r="D33" s="12"/>
      <c r="E33" s="12"/>
      <c r="F33" s="12"/>
    </row>
    <row r="34" customFormat="false" ht="15" hidden="false" customHeight="false" outlineLevel="0" collapsed="false">
      <c r="A34" s="10" t="n">
        <v>46301</v>
      </c>
      <c r="B34" s="11" t="str">
        <f aca="false">TEXT(A34,"ddd")</f>
        <v>Tue</v>
      </c>
      <c r="C34" s="12"/>
      <c r="D34" s="12"/>
      <c r="E34" s="12"/>
      <c r="F34" s="12"/>
    </row>
    <row r="35" customFormat="false" ht="15" hidden="false" customHeight="false" outlineLevel="0" collapsed="false">
      <c r="A35" s="10" t="n">
        <v>46302</v>
      </c>
      <c r="B35" s="11" t="str">
        <f aca="false">TEXT(A35,"ddd")</f>
        <v>Wed</v>
      </c>
      <c r="C35" s="12"/>
      <c r="D35" s="12"/>
      <c r="E35" s="12"/>
      <c r="F35" s="12"/>
    </row>
    <row r="36" customFormat="false" ht="15" hidden="false" customHeight="false" outlineLevel="0" collapsed="false">
      <c r="A36" s="10" t="n">
        <v>46303</v>
      </c>
      <c r="B36" s="11" t="str">
        <f aca="false">TEXT(A36,"ddd")</f>
        <v>Thu</v>
      </c>
      <c r="C36" s="12"/>
      <c r="D36" s="12"/>
      <c r="E36" s="12"/>
      <c r="F36" s="12"/>
    </row>
    <row r="37" customFormat="false" ht="15" hidden="false" customHeight="false" outlineLevel="0" collapsed="false">
      <c r="A37" s="10" t="n">
        <v>46304</v>
      </c>
      <c r="B37" s="11" t="str">
        <f aca="false">TEXT(A37,"ddd")</f>
        <v>Fri</v>
      </c>
      <c r="C37" s="12"/>
      <c r="D37" s="12"/>
      <c r="E37" s="12"/>
      <c r="F37" s="12"/>
    </row>
    <row r="38" customFormat="false" ht="15" hidden="false" customHeight="false" outlineLevel="0" collapsed="false">
      <c r="A38" s="13" t="n">
        <v>46305</v>
      </c>
      <c r="B38" s="14" t="str">
        <f aca="false">TEXT(A38,"ddd")</f>
        <v>Sat</v>
      </c>
      <c r="C38" s="14"/>
      <c r="D38" s="14"/>
      <c r="E38" s="14"/>
      <c r="F38" s="14"/>
    </row>
    <row r="39" customFormat="false" ht="15" hidden="false" customHeight="false" outlineLevel="0" collapsed="false">
      <c r="A39" s="13" t="n">
        <v>46306</v>
      </c>
      <c r="B39" s="14" t="str">
        <f aca="false">TEXT(A39,"ddd")</f>
        <v>Sun</v>
      </c>
      <c r="C39" s="14"/>
      <c r="D39" s="14"/>
      <c r="E39" s="14"/>
      <c r="F39" s="14"/>
    </row>
    <row r="40" customFormat="false" ht="15" hidden="false" customHeight="false" outlineLevel="0" collapsed="false">
      <c r="A40" s="10" t="n">
        <v>46307</v>
      </c>
      <c r="B40" s="11" t="str">
        <f aca="false">TEXT(A40,"ddd")</f>
        <v>Mon</v>
      </c>
      <c r="C40" s="12"/>
      <c r="D40" s="12"/>
      <c r="E40" s="12"/>
      <c r="F40" s="12"/>
    </row>
    <row r="41" customFormat="false" ht="15" hidden="false" customHeight="false" outlineLevel="0" collapsed="false">
      <c r="A41" s="10" t="n">
        <v>46308</v>
      </c>
      <c r="B41" s="11" t="str">
        <f aca="false">TEXT(A41,"ddd")</f>
        <v>Tue</v>
      </c>
      <c r="C41" s="12"/>
      <c r="D41" s="12"/>
      <c r="E41" s="12"/>
      <c r="F41" s="12"/>
    </row>
    <row r="42" customFormat="false" ht="15" hidden="false" customHeight="false" outlineLevel="0" collapsed="false">
      <c r="A42" s="10" t="n">
        <v>46309</v>
      </c>
      <c r="B42" s="11" t="str">
        <f aca="false">TEXT(A42,"ddd")</f>
        <v>Wed</v>
      </c>
      <c r="C42" s="12"/>
      <c r="D42" s="12"/>
      <c r="E42" s="12"/>
      <c r="F42" s="12"/>
    </row>
    <row r="43" customFormat="false" ht="15" hidden="false" customHeight="false" outlineLevel="0" collapsed="false">
      <c r="A43" s="10" t="n">
        <v>46310</v>
      </c>
      <c r="B43" s="11" t="str">
        <f aca="false">TEXT(A43,"ddd")</f>
        <v>Thu</v>
      </c>
      <c r="C43" s="12"/>
      <c r="D43" s="12"/>
      <c r="E43" s="12"/>
      <c r="F43" s="12"/>
    </row>
    <row r="44" customFormat="false" ht="15" hidden="false" customHeight="false" outlineLevel="0" collapsed="false">
      <c r="A44" s="10" t="n">
        <v>46311</v>
      </c>
      <c r="B44" s="11" t="str">
        <f aca="false">TEXT(A44,"ddd")</f>
        <v>Fri</v>
      </c>
      <c r="C44" s="12"/>
      <c r="D44" s="12"/>
      <c r="E44" s="12"/>
      <c r="F44" s="12"/>
    </row>
    <row r="45" customFormat="false" ht="15" hidden="false" customHeight="false" outlineLevel="0" collapsed="false">
      <c r="A45" s="13" t="n">
        <v>46312</v>
      </c>
      <c r="B45" s="14" t="str">
        <f aca="false">TEXT(A45,"ddd")</f>
        <v>Sat</v>
      </c>
      <c r="C45" s="14"/>
      <c r="D45" s="14"/>
      <c r="E45" s="14"/>
      <c r="F45" s="14"/>
    </row>
    <row r="46" customFormat="false" ht="15" hidden="false" customHeight="false" outlineLevel="0" collapsed="false">
      <c r="A46" s="13" t="n">
        <v>46313</v>
      </c>
      <c r="B46" s="14" t="str">
        <f aca="false">TEXT(A46,"ddd")</f>
        <v>Sun</v>
      </c>
      <c r="C46" s="14"/>
      <c r="D46" s="14"/>
      <c r="E46" s="14"/>
      <c r="F46" s="14"/>
    </row>
    <row r="47" customFormat="false" ht="15" hidden="false" customHeight="false" outlineLevel="0" collapsed="false">
      <c r="A47" s="10" t="n">
        <v>46314</v>
      </c>
      <c r="B47" s="11" t="str">
        <f aca="false">TEXT(A47,"ddd")</f>
        <v>Mon</v>
      </c>
      <c r="C47" s="12"/>
      <c r="D47" s="12"/>
      <c r="E47" s="12"/>
      <c r="F47" s="12"/>
    </row>
    <row r="48" customFormat="false" ht="15" hidden="false" customHeight="false" outlineLevel="0" collapsed="false">
      <c r="A48" s="10" t="n">
        <v>46315</v>
      </c>
      <c r="B48" s="11" t="str">
        <f aca="false">TEXT(A48,"ddd")</f>
        <v>Tue</v>
      </c>
      <c r="C48" s="12"/>
      <c r="D48" s="12"/>
      <c r="E48" s="12"/>
      <c r="F48" s="12"/>
    </row>
    <row r="49" customFormat="false" ht="15" hidden="false" customHeight="false" outlineLevel="0" collapsed="false">
      <c r="A49" s="10" t="n">
        <v>46316</v>
      </c>
      <c r="B49" s="11" t="str">
        <f aca="false">TEXT(A49,"ddd")</f>
        <v>Wed</v>
      </c>
      <c r="C49" s="12"/>
      <c r="D49" s="12"/>
      <c r="E49" s="12"/>
      <c r="F49" s="12"/>
    </row>
    <row r="50" customFormat="false" ht="15" hidden="false" customHeight="false" outlineLevel="0" collapsed="false">
      <c r="A50" s="10" t="n">
        <v>46317</v>
      </c>
      <c r="B50" s="11" t="str">
        <f aca="false">TEXT(A50,"ddd")</f>
        <v>Thu</v>
      </c>
      <c r="C50" s="12"/>
      <c r="D50" s="12"/>
      <c r="E50" s="12"/>
      <c r="F50" s="12"/>
    </row>
    <row r="51" customFormat="false" ht="15" hidden="false" customHeight="false" outlineLevel="0" collapsed="false">
      <c r="A51" s="10" t="n">
        <v>46318</v>
      </c>
      <c r="B51" s="11" t="str">
        <f aca="false">TEXT(A51,"ddd")</f>
        <v>Fri</v>
      </c>
      <c r="C51" s="12"/>
      <c r="D51" s="12"/>
      <c r="E51" s="12"/>
      <c r="F51" s="12"/>
    </row>
    <row r="52" customFormat="false" ht="15" hidden="false" customHeight="false" outlineLevel="0" collapsed="false">
      <c r="A52" s="13" t="n">
        <v>46319</v>
      </c>
      <c r="B52" s="14" t="str">
        <f aca="false">TEXT(A52,"ddd")</f>
        <v>Sat</v>
      </c>
      <c r="C52" s="14"/>
      <c r="D52" s="14"/>
      <c r="E52" s="14"/>
      <c r="F52" s="14"/>
    </row>
    <row r="53" customFormat="false" ht="15" hidden="false" customHeight="false" outlineLevel="0" collapsed="false">
      <c r="A53" s="13" t="n">
        <v>46320</v>
      </c>
      <c r="B53" s="14" t="str">
        <f aca="false">TEXT(A53,"ddd")</f>
        <v>Sun</v>
      </c>
      <c r="C53" s="14"/>
      <c r="D53" s="14"/>
      <c r="E53" s="14"/>
      <c r="F53" s="14"/>
    </row>
    <row r="54" customFormat="false" ht="15" hidden="false" customHeight="false" outlineLevel="0" collapsed="false">
      <c r="A54" s="10" t="n">
        <v>46321</v>
      </c>
      <c r="B54" s="11" t="str">
        <f aca="false">TEXT(A54,"ddd")</f>
        <v>Mon</v>
      </c>
      <c r="C54" s="12"/>
      <c r="D54" s="12"/>
      <c r="E54" s="12"/>
      <c r="F54" s="12"/>
    </row>
    <row r="55" customFormat="false" ht="15" hidden="false" customHeight="false" outlineLevel="0" collapsed="false">
      <c r="A55" s="10" t="n">
        <v>46322</v>
      </c>
      <c r="B55" s="11" t="str">
        <f aca="false">TEXT(A55,"ddd")</f>
        <v>Tue</v>
      </c>
      <c r="C55" s="12"/>
      <c r="D55" s="12"/>
      <c r="E55" s="12"/>
      <c r="F55" s="12"/>
    </row>
    <row r="56" customFormat="false" ht="15" hidden="false" customHeight="false" outlineLevel="0" collapsed="false">
      <c r="A56" s="10" t="n">
        <v>46323</v>
      </c>
      <c r="B56" s="11" t="str">
        <f aca="false">TEXT(A56,"ddd")</f>
        <v>Wed</v>
      </c>
      <c r="C56" s="12"/>
      <c r="D56" s="12"/>
      <c r="E56" s="12"/>
      <c r="F56" s="12"/>
    </row>
    <row r="57" customFormat="false" ht="15" hidden="false" customHeight="false" outlineLevel="0" collapsed="false">
      <c r="A57" s="10" t="n">
        <v>46324</v>
      </c>
      <c r="B57" s="11" t="str">
        <f aca="false">TEXT(A57,"ddd")</f>
        <v>Thu</v>
      </c>
      <c r="C57" s="12"/>
      <c r="D57" s="12"/>
      <c r="E57" s="12"/>
      <c r="F57" s="12"/>
    </row>
    <row r="58" customFormat="false" ht="15" hidden="false" customHeight="false" outlineLevel="0" collapsed="false">
      <c r="A58" s="10" t="n">
        <v>46325</v>
      </c>
      <c r="B58" s="11" t="str">
        <f aca="false">TEXT(A58,"ddd")</f>
        <v>Fri</v>
      </c>
      <c r="C58" s="12"/>
      <c r="D58" s="12"/>
      <c r="E58" s="12"/>
      <c r="F58" s="12"/>
    </row>
    <row r="59" customFormat="false" ht="15" hidden="false" customHeight="false" outlineLevel="0" collapsed="false">
      <c r="A59" s="13" t="n">
        <v>46326</v>
      </c>
      <c r="B59" s="14" t="str">
        <f aca="false">TEXT(A59,"ddd")</f>
        <v>Sat</v>
      </c>
      <c r="C59" s="14"/>
      <c r="D59" s="14"/>
      <c r="E59" s="14"/>
      <c r="F59" s="14"/>
    </row>
    <row r="60" customFormat="false" ht="15" hidden="false" customHeight="false" outlineLevel="0" collapsed="false">
      <c r="A60" s="13" t="n">
        <v>46327</v>
      </c>
      <c r="B60" s="14" t="str">
        <f aca="false">TEXT(A60,"ddd")</f>
        <v>Sun</v>
      </c>
      <c r="C60" s="14"/>
      <c r="D60" s="14"/>
      <c r="E60" s="14"/>
      <c r="F60" s="14"/>
    </row>
  </sheetData>
  <mergeCells count="2">
    <mergeCell ref="A1:F1"/>
    <mergeCell ref="A2:F2"/>
  </mergeCells>
  <dataValidations count="1">
    <dataValidation allowBlank="true" error="Choose Y or N" errorStyle="stop" errorTitle="Invalid entry" operator="between" showDropDown="false" showErrorMessage="false" showInputMessage="false" sqref="C5:C60 E5:E60" type="list">
      <formula1>"Y,N"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3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40"/>
    <col collapsed="false" customWidth="true" hidden="false" outlineLevel="0" max="3" min="3" style="0" width="26"/>
    <col collapsed="false" customWidth="true" hidden="false" outlineLevel="0" max="5" min="4" style="0" width="18"/>
    <col collapsed="false" customWidth="true" hidden="false" outlineLevel="0" max="6" min="6" style="0" width="30"/>
    <col collapsed="false" customWidth="true" hidden="false" outlineLevel="0" max="8" min="7" style="0" width="10"/>
    <col collapsed="false" customWidth="true" hidden="false" outlineLevel="0" max="10" min="9" style="0" width="14"/>
  </cols>
  <sheetData>
    <row r="1" customFormat="false" ht="19.7" hidden="false" customHeight="false" outlineLevel="0" collapsed="false">
      <c r="A1" s="7" t="s">
        <v>20</v>
      </c>
      <c r="B1" s="7"/>
      <c r="C1" s="7"/>
      <c r="D1" s="7"/>
      <c r="E1" s="7"/>
      <c r="F1" s="7"/>
      <c r="G1" s="7"/>
    </row>
    <row r="2" customFormat="false" ht="15" hidden="false" customHeight="false" outlineLevel="0" collapsed="false">
      <c r="A2" s="8" t="s">
        <v>21</v>
      </c>
      <c r="B2" s="8"/>
      <c r="C2" s="8"/>
      <c r="D2" s="8"/>
      <c r="E2" s="8"/>
      <c r="F2" s="8"/>
      <c r="G2" s="8"/>
      <c r="H2" s="8"/>
    </row>
    <row r="4" customFormat="false" ht="26.85" hidden="false" customHeight="false" outlineLevel="0" collapsed="false">
      <c r="A4" s="9" t="s">
        <v>15</v>
      </c>
      <c r="B4" s="9" t="s">
        <v>22</v>
      </c>
      <c r="C4" s="9" t="s">
        <v>23</v>
      </c>
      <c r="D4" s="9" t="str">
        <f aca="false">Setup!$B$4&amp;" gets point? (Y/N)"</f>
        <v>Alex gets point? (Y/N)</v>
      </c>
      <c r="E4" s="9" t="str">
        <f aca="false">Setup!$B$5&amp;" gets point? (Y/N)"</f>
        <v>Sam gets point? (Y/N)</v>
      </c>
      <c r="F4" s="9" t="s">
        <v>24</v>
      </c>
      <c r="G4" s="9" t="str">
        <f aca="false">Setup!$B$4&amp;" Points"</f>
        <v>Alex Points</v>
      </c>
      <c r="H4" s="9" t="str">
        <f aca="false">Setup!$B$5&amp;" Points"</f>
        <v>Sam Points</v>
      </c>
      <c r="I4" s="15" t="str">
        <f aca="false">Setup!$B$4&amp;" cumulative"</f>
        <v>Alex cumulative</v>
      </c>
      <c r="J4" s="15" t="str">
        <f aca="false">Setup!$B$5&amp;" cumulative"</f>
        <v>Sam cumulative</v>
      </c>
    </row>
    <row r="5" customFormat="false" ht="15" hidden="false" customHeight="false" outlineLevel="0" collapsed="false">
      <c r="A5" s="16" t="n">
        <v>46273</v>
      </c>
      <c r="B5" s="4" t="s">
        <v>25</v>
      </c>
      <c r="C5" s="4" t="s">
        <v>26</v>
      </c>
      <c r="D5" s="4" t="s">
        <v>17</v>
      </c>
      <c r="E5" s="4" t="s">
        <v>17</v>
      </c>
      <c r="F5" s="4" t="s">
        <v>27</v>
      </c>
      <c r="G5" s="11" t="n">
        <f aca="false">IF(UPPER(D5)="Y",1,0)</f>
        <v>1</v>
      </c>
      <c r="H5" s="11" t="n">
        <f aca="false">IF(UPPER(E5)="Y",1,0)</f>
        <v>1</v>
      </c>
      <c r="I5" s="15" t="n">
        <f aca="false">SUM($G$5:G5)</f>
        <v>1</v>
      </c>
      <c r="J5" s="15" t="n">
        <f aca="false">SUM($H$5:H5)</f>
        <v>1</v>
      </c>
    </row>
    <row r="6" customFormat="false" ht="15" hidden="false" customHeight="false" outlineLevel="0" collapsed="false">
      <c r="A6" s="11"/>
      <c r="B6" s="12"/>
      <c r="C6" s="12"/>
      <c r="D6" s="12"/>
      <c r="E6" s="12"/>
      <c r="F6" s="12"/>
      <c r="G6" s="11" t="n">
        <f aca="false">IF(UPPER(D6)="Y",1,0)</f>
        <v>0</v>
      </c>
      <c r="H6" s="11" t="n">
        <f aca="false">IF(UPPER(E6)="Y",1,0)</f>
        <v>0</v>
      </c>
      <c r="I6" s="15" t="n">
        <f aca="false">SUM($G$5:G6)</f>
        <v>1</v>
      </c>
      <c r="J6" s="15" t="n">
        <f aca="false">SUM($H$5:H6)</f>
        <v>1</v>
      </c>
    </row>
    <row r="7" customFormat="false" ht="15" hidden="false" customHeight="false" outlineLevel="0" collapsed="false">
      <c r="A7" s="11"/>
      <c r="B7" s="12"/>
      <c r="C7" s="12"/>
      <c r="D7" s="12"/>
      <c r="E7" s="12"/>
      <c r="F7" s="12"/>
      <c r="G7" s="11" t="n">
        <f aca="false">IF(UPPER(D7)="Y",1,0)</f>
        <v>0</v>
      </c>
      <c r="H7" s="11" t="n">
        <f aca="false">IF(UPPER(E7)="Y",1,0)</f>
        <v>0</v>
      </c>
      <c r="I7" s="15" t="n">
        <f aca="false">SUM($G$5:G7)</f>
        <v>1</v>
      </c>
      <c r="J7" s="15" t="n">
        <f aca="false">SUM($H$5:H7)</f>
        <v>1</v>
      </c>
    </row>
    <row r="8" customFormat="false" ht="15" hidden="false" customHeight="false" outlineLevel="0" collapsed="false">
      <c r="A8" s="11"/>
      <c r="B8" s="12"/>
      <c r="C8" s="12"/>
      <c r="D8" s="12"/>
      <c r="E8" s="12"/>
      <c r="F8" s="12"/>
      <c r="G8" s="11" t="n">
        <f aca="false">IF(UPPER(D8)="Y",1,0)</f>
        <v>0</v>
      </c>
      <c r="H8" s="11" t="n">
        <f aca="false">IF(UPPER(E8)="Y",1,0)</f>
        <v>0</v>
      </c>
      <c r="I8" s="15" t="n">
        <f aca="false">SUM($G$5:G8)</f>
        <v>1</v>
      </c>
      <c r="J8" s="15" t="n">
        <f aca="false">SUM($H$5:H8)</f>
        <v>1</v>
      </c>
    </row>
    <row r="9" customFormat="false" ht="15" hidden="false" customHeight="false" outlineLevel="0" collapsed="false">
      <c r="A9" s="11"/>
      <c r="B9" s="12"/>
      <c r="C9" s="12"/>
      <c r="D9" s="12"/>
      <c r="E9" s="12"/>
      <c r="F9" s="12"/>
      <c r="G9" s="11" t="n">
        <f aca="false">IF(UPPER(D9)="Y",1,0)</f>
        <v>0</v>
      </c>
      <c r="H9" s="11" t="n">
        <f aca="false">IF(UPPER(E9)="Y",1,0)</f>
        <v>0</v>
      </c>
      <c r="I9" s="15" t="n">
        <f aca="false">SUM($G$5:G9)</f>
        <v>1</v>
      </c>
      <c r="J9" s="15" t="n">
        <f aca="false">SUM($H$5:H9)</f>
        <v>1</v>
      </c>
    </row>
    <row r="10" customFormat="false" ht="15" hidden="false" customHeight="false" outlineLevel="0" collapsed="false">
      <c r="A10" s="11"/>
      <c r="B10" s="12"/>
      <c r="C10" s="12"/>
      <c r="D10" s="12"/>
      <c r="E10" s="12"/>
      <c r="F10" s="12"/>
      <c r="G10" s="11" t="n">
        <f aca="false">IF(UPPER(D10)="Y",1,0)</f>
        <v>0</v>
      </c>
      <c r="H10" s="11" t="n">
        <f aca="false">IF(UPPER(E10)="Y",1,0)</f>
        <v>0</v>
      </c>
      <c r="I10" s="15" t="n">
        <f aca="false">SUM($G$5:G10)</f>
        <v>1</v>
      </c>
      <c r="J10" s="15" t="n">
        <f aca="false">SUM($H$5:H10)</f>
        <v>1</v>
      </c>
    </row>
    <row r="11" customFormat="false" ht="15" hidden="false" customHeight="false" outlineLevel="0" collapsed="false">
      <c r="A11" s="11"/>
      <c r="B11" s="12"/>
      <c r="C11" s="12"/>
      <c r="D11" s="12"/>
      <c r="E11" s="12"/>
      <c r="F11" s="12"/>
      <c r="G11" s="11" t="n">
        <f aca="false">IF(UPPER(D11)="Y",1,0)</f>
        <v>0</v>
      </c>
      <c r="H11" s="11" t="n">
        <f aca="false">IF(UPPER(E11)="Y",1,0)</f>
        <v>0</v>
      </c>
      <c r="I11" s="15" t="n">
        <f aca="false">SUM($G$5:G11)</f>
        <v>1</v>
      </c>
      <c r="J11" s="15" t="n">
        <f aca="false">SUM($H$5:H11)</f>
        <v>1</v>
      </c>
    </row>
    <row r="12" customFormat="false" ht="15" hidden="false" customHeight="false" outlineLevel="0" collapsed="false">
      <c r="A12" s="11"/>
      <c r="B12" s="12"/>
      <c r="C12" s="12"/>
      <c r="D12" s="12"/>
      <c r="E12" s="12"/>
      <c r="F12" s="12"/>
      <c r="G12" s="11" t="n">
        <f aca="false">IF(UPPER(D12)="Y",1,0)</f>
        <v>0</v>
      </c>
      <c r="H12" s="11" t="n">
        <f aca="false">IF(UPPER(E12)="Y",1,0)</f>
        <v>0</v>
      </c>
      <c r="I12" s="15" t="n">
        <f aca="false">SUM($G$5:G12)</f>
        <v>1</v>
      </c>
      <c r="J12" s="15" t="n">
        <f aca="false">SUM($H$5:H12)</f>
        <v>1</v>
      </c>
    </row>
    <row r="13" customFormat="false" ht="15" hidden="false" customHeight="false" outlineLevel="0" collapsed="false">
      <c r="A13" s="11"/>
      <c r="B13" s="12"/>
      <c r="C13" s="12"/>
      <c r="D13" s="12"/>
      <c r="E13" s="12"/>
      <c r="F13" s="12"/>
      <c r="G13" s="11" t="n">
        <f aca="false">IF(UPPER(D13)="Y",1,0)</f>
        <v>0</v>
      </c>
      <c r="H13" s="11" t="n">
        <f aca="false">IF(UPPER(E13)="Y",1,0)</f>
        <v>0</v>
      </c>
      <c r="I13" s="15" t="n">
        <f aca="false">SUM($G$5:G13)</f>
        <v>1</v>
      </c>
      <c r="J13" s="15" t="n">
        <f aca="false">SUM($H$5:H13)</f>
        <v>1</v>
      </c>
    </row>
    <row r="14" customFormat="false" ht="15" hidden="false" customHeight="false" outlineLevel="0" collapsed="false">
      <c r="A14" s="11"/>
      <c r="B14" s="12"/>
      <c r="C14" s="12"/>
      <c r="D14" s="12"/>
      <c r="E14" s="12"/>
      <c r="F14" s="12"/>
      <c r="G14" s="11" t="n">
        <f aca="false">IF(UPPER(D14)="Y",1,0)</f>
        <v>0</v>
      </c>
      <c r="H14" s="11" t="n">
        <f aca="false">IF(UPPER(E14)="Y",1,0)</f>
        <v>0</v>
      </c>
      <c r="I14" s="15" t="n">
        <f aca="false">SUM($G$5:G14)</f>
        <v>1</v>
      </c>
      <c r="J14" s="15" t="n">
        <f aca="false">SUM($H$5:H14)</f>
        <v>1</v>
      </c>
    </row>
    <row r="15" customFormat="false" ht="15" hidden="false" customHeight="false" outlineLevel="0" collapsed="false">
      <c r="A15" s="11"/>
      <c r="B15" s="12"/>
      <c r="C15" s="12"/>
      <c r="D15" s="12"/>
      <c r="E15" s="12"/>
      <c r="F15" s="12"/>
      <c r="G15" s="11" t="n">
        <f aca="false">IF(UPPER(D15)="Y",1,0)</f>
        <v>0</v>
      </c>
      <c r="H15" s="11" t="n">
        <f aca="false">IF(UPPER(E15)="Y",1,0)</f>
        <v>0</v>
      </c>
      <c r="I15" s="15" t="n">
        <f aca="false">SUM($G$5:G15)</f>
        <v>1</v>
      </c>
      <c r="J15" s="15" t="n">
        <f aca="false">SUM($H$5:H15)</f>
        <v>1</v>
      </c>
    </row>
    <row r="16" customFormat="false" ht="15" hidden="false" customHeight="false" outlineLevel="0" collapsed="false">
      <c r="A16" s="11"/>
      <c r="B16" s="12"/>
      <c r="C16" s="12"/>
      <c r="D16" s="12"/>
      <c r="E16" s="12"/>
      <c r="F16" s="12"/>
      <c r="G16" s="11" t="n">
        <f aca="false">IF(UPPER(D16)="Y",1,0)</f>
        <v>0</v>
      </c>
      <c r="H16" s="11" t="n">
        <f aca="false">IF(UPPER(E16)="Y",1,0)</f>
        <v>0</v>
      </c>
      <c r="I16" s="15" t="n">
        <f aca="false">SUM($G$5:G16)</f>
        <v>1</v>
      </c>
      <c r="J16" s="15" t="n">
        <f aca="false">SUM($H$5:H16)</f>
        <v>1</v>
      </c>
    </row>
    <row r="17" customFormat="false" ht="15" hidden="false" customHeight="false" outlineLevel="0" collapsed="false">
      <c r="A17" s="11"/>
      <c r="B17" s="12"/>
      <c r="C17" s="12"/>
      <c r="D17" s="12"/>
      <c r="E17" s="12"/>
      <c r="F17" s="12"/>
      <c r="G17" s="11" t="n">
        <f aca="false">IF(UPPER(D17)="Y",1,0)</f>
        <v>0</v>
      </c>
      <c r="H17" s="11" t="n">
        <f aca="false">IF(UPPER(E17)="Y",1,0)</f>
        <v>0</v>
      </c>
      <c r="I17" s="15" t="n">
        <f aca="false">SUM($G$5:G17)</f>
        <v>1</v>
      </c>
      <c r="J17" s="15" t="n">
        <f aca="false">SUM($H$5:H17)</f>
        <v>1</v>
      </c>
    </row>
    <row r="18" customFormat="false" ht="15" hidden="false" customHeight="false" outlineLevel="0" collapsed="false">
      <c r="A18" s="11"/>
      <c r="B18" s="12"/>
      <c r="C18" s="12"/>
      <c r="D18" s="12"/>
      <c r="E18" s="12"/>
      <c r="F18" s="12"/>
      <c r="G18" s="11" t="n">
        <f aca="false">IF(UPPER(D18)="Y",1,0)</f>
        <v>0</v>
      </c>
      <c r="H18" s="11" t="n">
        <f aca="false">IF(UPPER(E18)="Y",1,0)</f>
        <v>0</v>
      </c>
      <c r="I18" s="15" t="n">
        <f aca="false">SUM($G$5:G18)</f>
        <v>1</v>
      </c>
      <c r="J18" s="15" t="n">
        <f aca="false">SUM($H$5:H18)</f>
        <v>1</v>
      </c>
    </row>
    <row r="19" customFormat="false" ht="15" hidden="false" customHeight="false" outlineLevel="0" collapsed="false">
      <c r="A19" s="11"/>
      <c r="B19" s="12"/>
      <c r="C19" s="12"/>
      <c r="D19" s="12"/>
      <c r="E19" s="12"/>
      <c r="F19" s="12"/>
      <c r="G19" s="11" t="n">
        <f aca="false">IF(UPPER(D19)="Y",1,0)</f>
        <v>0</v>
      </c>
      <c r="H19" s="11" t="n">
        <f aca="false">IF(UPPER(E19)="Y",1,0)</f>
        <v>0</v>
      </c>
      <c r="I19" s="15" t="n">
        <f aca="false">SUM($G$5:G19)</f>
        <v>1</v>
      </c>
      <c r="J19" s="15" t="n">
        <f aca="false">SUM($H$5:H19)</f>
        <v>1</v>
      </c>
    </row>
    <row r="20" customFormat="false" ht="15" hidden="false" customHeight="false" outlineLevel="0" collapsed="false">
      <c r="A20" s="11"/>
      <c r="B20" s="12"/>
      <c r="C20" s="12"/>
      <c r="D20" s="12"/>
      <c r="E20" s="12"/>
      <c r="F20" s="12"/>
      <c r="G20" s="11" t="n">
        <f aca="false">IF(UPPER(D20)="Y",1,0)</f>
        <v>0</v>
      </c>
      <c r="H20" s="11" t="n">
        <f aca="false">IF(UPPER(E20)="Y",1,0)</f>
        <v>0</v>
      </c>
      <c r="I20" s="15" t="n">
        <f aca="false">SUM($G$5:G20)</f>
        <v>1</v>
      </c>
      <c r="J20" s="15" t="n">
        <f aca="false">SUM($H$5:H20)</f>
        <v>1</v>
      </c>
    </row>
    <row r="21" customFormat="false" ht="15" hidden="false" customHeight="false" outlineLevel="0" collapsed="false">
      <c r="A21" s="11"/>
      <c r="B21" s="12"/>
      <c r="C21" s="12"/>
      <c r="D21" s="12"/>
      <c r="E21" s="12"/>
      <c r="F21" s="12"/>
      <c r="G21" s="11" t="n">
        <f aca="false">IF(UPPER(D21)="Y",1,0)</f>
        <v>0</v>
      </c>
      <c r="H21" s="11" t="n">
        <f aca="false">IF(UPPER(E21)="Y",1,0)</f>
        <v>0</v>
      </c>
      <c r="I21" s="15" t="n">
        <f aca="false">SUM($G$5:G21)</f>
        <v>1</v>
      </c>
      <c r="J21" s="15" t="n">
        <f aca="false">SUM($H$5:H21)</f>
        <v>1</v>
      </c>
    </row>
    <row r="22" customFormat="false" ht="15" hidden="false" customHeight="false" outlineLevel="0" collapsed="false">
      <c r="A22" s="11"/>
      <c r="B22" s="12"/>
      <c r="C22" s="12"/>
      <c r="D22" s="12"/>
      <c r="E22" s="12"/>
      <c r="F22" s="12"/>
      <c r="G22" s="11" t="n">
        <f aca="false">IF(UPPER(D22)="Y",1,0)</f>
        <v>0</v>
      </c>
      <c r="H22" s="11" t="n">
        <f aca="false">IF(UPPER(E22)="Y",1,0)</f>
        <v>0</v>
      </c>
      <c r="I22" s="15" t="n">
        <f aca="false">SUM($G$5:G22)</f>
        <v>1</v>
      </c>
      <c r="J22" s="15" t="n">
        <f aca="false">SUM($H$5:H22)</f>
        <v>1</v>
      </c>
    </row>
    <row r="23" customFormat="false" ht="15" hidden="false" customHeight="false" outlineLevel="0" collapsed="false">
      <c r="A23" s="11"/>
      <c r="B23" s="12"/>
      <c r="C23" s="12"/>
      <c r="D23" s="12"/>
      <c r="E23" s="12"/>
      <c r="F23" s="12"/>
      <c r="G23" s="11" t="n">
        <f aca="false">IF(UPPER(D23)="Y",1,0)</f>
        <v>0</v>
      </c>
      <c r="H23" s="11" t="n">
        <f aca="false">IF(UPPER(E23)="Y",1,0)</f>
        <v>0</v>
      </c>
      <c r="I23" s="15" t="n">
        <f aca="false">SUM($G$5:G23)</f>
        <v>1</v>
      </c>
      <c r="J23" s="15" t="n">
        <f aca="false">SUM($H$5:H23)</f>
        <v>1</v>
      </c>
    </row>
    <row r="24" customFormat="false" ht="15" hidden="false" customHeight="false" outlineLevel="0" collapsed="false">
      <c r="A24" s="11"/>
      <c r="B24" s="12"/>
      <c r="C24" s="12"/>
      <c r="D24" s="12"/>
      <c r="E24" s="12"/>
      <c r="F24" s="12"/>
      <c r="G24" s="11" t="n">
        <f aca="false">IF(UPPER(D24)="Y",1,0)</f>
        <v>0</v>
      </c>
      <c r="H24" s="11" t="n">
        <f aca="false">IF(UPPER(E24)="Y",1,0)</f>
        <v>0</v>
      </c>
      <c r="I24" s="15" t="n">
        <f aca="false">SUM($G$5:G24)</f>
        <v>1</v>
      </c>
      <c r="J24" s="15" t="n">
        <f aca="false">SUM($H$5:H24)</f>
        <v>1</v>
      </c>
    </row>
    <row r="25" customFormat="false" ht="15" hidden="false" customHeight="false" outlineLevel="0" collapsed="false">
      <c r="A25" s="11"/>
      <c r="B25" s="12"/>
      <c r="C25" s="12"/>
      <c r="D25" s="12"/>
      <c r="E25" s="12"/>
      <c r="F25" s="12"/>
      <c r="G25" s="11" t="n">
        <f aca="false">IF(UPPER(D25)="Y",1,0)</f>
        <v>0</v>
      </c>
      <c r="H25" s="11" t="n">
        <f aca="false">IF(UPPER(E25)="Y",1,0)</f>
        <v>0</v>
      </c>
      <c r="I25" s="15" t="n">
        <f aca="false">SUM($G$5:G25)</f>
        <v>1</v>
      </c>
      <c r="J25" s="15" t="n">
        <f aca="false">SUM($H$5:H25)</f>
        <v>1</v>
      </c>
    </row>
    <row r="26" customFormat="false" ht="15" hidden="false" customHeight="false" outlineLevel="0" collapsed="false">
      <c r="A26" s="11"/>
      <c r="B26" s="12"/>
      <c r="C26" s="12"/>
      <c r="D26" s="12"/>
      <c r="E26" s="12"/>
      <c r="F26" s="12"/>
      <c r="G26" s="11" t="n">
        <f aca="false">IF(UPPER(D26)="Y",1,0)</f>
        <v>0</v>
      </c>
      <c r="H26" s="11" t="n">
        <f aca="false">IF(UPPER(E26)="Y",1,0)</f>
        <v>0</v>
      </c>
      <c r="I26" s="15" t="n">
        <f aca="false">SUM($G$5:G26)</f>
        <v>1</v>
      </c>
      <c r="J26" s="15" t="n">
        <f aca="false">SUM($H$5:H26)</f>
        <v>1</v>
      </c>
    </row>
    <row r="27" customFormat="false" ht="15" hidden="false" customHeight="false" outlineLevel="0" collapsed="false">
      <c r="A27" s="11"/>
      <c r="B27" s="12"/>
      <c r="C27" s="12"/>
      <c r="D27" s="12"/>
      <c r="E27" s="12"/>
      <c r="F27" s="12"/>
      <c r="G27" s="11" t="n">
        <f aca="false">IF(UPPER(D27)="Y",1,0)</f>
        <v>0</v>
      </c>
      <c r="H27" s="11" t="n">
        <f aca="false">IF(UPPER(E27)="Y",1,0)</f>
        <v>0</v>
      </c>
      <c r="I27" s="15" t="n">
        <f aca="false">SUM($G$5:G27)</f>
        <v>1</v>
      </c>
      <c r="J27" s="15" t="n">
        <f aca="false">SUM($H$5:H27)</f>
        <v>1</v>
      </c>
    </row>
    <row r="28" customFormat="false" ht="15" hidden="false" customHeight="false" outlineLevel="0" collapsed="false">
      <c r="A28" s="11"/>
      <c r="B28" s="12"/>
      <c r="C28" s="12"/>
      <c r="D28" s="12"/>
      <c r="E28" s="12"/>
      <c r="F28" s="12"/>
      <c r="G28" s="11" t="n">
        <f aca="false">IF(UPPER(D28)="Y",1,0)</f>
        <v>0</v>
      </c>
      <c r="H28" s="11" t="n">
        <f aca="false">IF(UPPER(E28)="Y",1,0)</f>
        <v>0</v>
      </c>
      <c r="I28" s="15" t="n">
        <f aca="false">SUM($G$5:G28)</f>
        <v>1</v>
      </c>
      <c r="J28" s="15" t="n">
        <f aca="false">SUM($H$5:H28)</f>
        <v>1</v>
      </c>
    </row>
    <row r="29" customFormat="false" ht="15" hidden="false" customHeight="false" outlineLevel="0" collapsed="false">
      <c r="A29" s="11"/>
      <c r="B29" s="12"/>
      <c r="C29" s="12"/>
      <c r="D29" s="12"/>
      <c r="E29" s="12"/>
      <c r="F29" s="12"/>
      <c r="G29" s="11" t="n">
        <f aca="false">IF(UPPER(D29)="Y",1,0)</f>
        <v>0</v>
      </c>
      <c r="H29" s="11" t="n">
        <f aca="false">IF(UPPER(E29)="Y",1,0)</f>
        <v>0</v>
      </c>
      <c r="I29" s="15" t="n">
        <f aca="false">SUM($G$5:G29)</f>
        <v>1</v>
      </c>
      <c r="J29" s="15" t="n">
        <f aca="false">SUM($H$5:H29)</f>
        <v>1</v>
      </c>
    </row>
    <row r="30" customFormat="false" ht="15" hidden="false" customHeight="false" outlineLevel="0" collapsed="false">
      <c r="A30" s="11"/>
      <c r="B30" s="12"/>
      <c r="C30" s="12"/>
      <c r="D30" s="12"/>
      <c r="E30" s="12"/>
      <c r="F30" s="12"/>
      <c r="G30" s="11" t="n">
        <f aca="false">IF(UPPER(D30)="Y",1,0)</f>
        <v>0</v>
      </c>
      <c r="H30" s="11" t="n">
        <f aca="false">IF(UPPER(E30)="Y",1,0)</f>
        <v>0</v>
      </c>
      <c r="I30" s="15" t="n">
        <f aca="false">SUM($G$5:G30)</f>
        <v>1</v>
      </c>
      <c r="J30" s="15" t="n">
        <f aca="false">SUM($H$5:H30)</f>
        <v>1</v>
      </c>
    </row>
    <row r="31" customFormat="false" ht="15" hidden="false" customHeight="false" outlineLevel="0" collapsed="false">
      <c r="A31" s="11"/>
      <c r="B31" s="12"/>
      <c r="C31" s="12"/>
      <c r="D31" s="12"/>
      <c r="E31" s="12"/>
      <c r="F31" s="12"/>
      <c r="G31" s="11" t="n">
        <f aca="false">IF(UPPER(D31)="Y",1,0)</f>
        <v>0</v>
      </c>
      <c r="H31" s="11" t="n">
        <f aca="false">IF(UPPER(E31)="Y",1,0)</f>
        <v>0</v>
      </c>
      <c r="I31" s="15" t="n">
        <f aca="false">SUM($G$5:G31)</f>
        <v>1</v>
      </c>
      <c r="J31" s="15" t="n">
        <f aca="false">SUM($H$5:H31)</f>
        <v>1</v>
      </c>
    </row>
    <row r="32" customFormat="false" ht="15" hidden="false" customHeight="false" outlineLevel="0" collapsed="false">
      <c r="A32" s="11"/>
      <c r="B32" s="12"/>
      <c r="C32" s="12"/>
      <c r="D32" s="12"/>
      <c r="E32" s="12"/>
      <c r="F32" s="12"/>
      <c r="G32" s="11" t="n">
        <f aca="false">IF(UPPER(D32)="Y",1,0)</f>
        <v>0</v>
      </c>
      <c r="H32" s="11" t="n">
        <f aca="false">IF(UPPER(E32)="Y",1,0)</f>
        <v>0</v>
      </c>
      <c r="I32" s="15" t="n">
        <f aca="false">SUM($G$5:G32)</f>
        <v>1</v>
      </c>
      <c r="J32" s="15" t="n">
        <f aca="false">SUM($H$5:H32)</f>
        <v>1</v>
      </c>
    </row>
    <row r="33" customFormat="false" ht="15" hidden="false" customHeight="false" outlineLevel="0" collapsed="false">
      <c r="A33" s="11"/>
      <c r="B33" s="12"/>
      <c r="C33" s="12"/>
      <c r="D33" s="12"/>
      <c r="E33" s="12"/>
      <c r="F33" s="12"/>
      <c r="G33" s="11" t="n">
        <f aca="false">IF(UPPER(D33)="Y",1,0)</f>
        <v>0</v>
      </c>
      <c r="H33" s="11" t="n">
        <f aca="false">IF(UPPER(E33)="Y",1,0)</f>
        <v>0</v>
      </c>
      <c r="I33" s="15" t="n">
        <f aca="false">SUM($G$5:G33)</f>
        <v>1</v>
      </c>
      <c r="J33" s="15" t="n">
        <f aca="false">SUM($H$5:H33)</f>
        <v>1</v>
      </c>
    </row>
    <row r="34" customFormat="false" ht="15" hidden="false" customHeight="false" outlineLevel="0" collapsed="false">
      <c r="A34" s="11"/>
      <c r="B34" s="12"/>
      <c r="C34" s="12"/>
      <c r="D34" s="12"/>
      <c r="E34" s="12"/>
      <c r="F34" s="12"/>
      <c r="G34" s="11" t="n">
        <f aca="false">IF(UPPER(D34)="Y",1,0)</f>
        <v>0</v>
      </c>
      <c r="H34" s="11" t="n">
        <f aca="false">IF(UPPER(E34)="Y",1,0)</f>
        <v>0</v>
      </c>
      <c r="I34" s="15" t="n">
        <f aca="false">SUM($G$5:G34)</f>
        <v>1</v>
      </c>
      <c r="J34" s="15" t="n">
        <f aca="false">SUM($H$5:H34)</f>
        <v>1</v>
      </c>
    </row>
  </sheetData>
  <mergeCells count="2">
    <mergeCell ref="A1:G1"/>
    <mergeCell ref="A2:H2"/>
  </mergeCells>
  <dataValidations count="1">
    <dataValidation allowBlank="true" error="Choose Y or N" errorStyle="stop" errorTitle="Invalid entry" operator="between" showDropDown="false" showErrorMessage="false" showInputMessage="false" sqref="D5:E34" type="list">
      <formula1>"Y,N"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1" style="0" width="20"/>
    <col collapsed="false" customWidth="true" hidden="false" outlineLevel="0" max="3" min="3" style="0" width="24"/>
  </cols>
  <sheetData>
    <row r="1" customFormat="false" ht="19.7" hidden="false" customHeight="false" outlineLevel="0" collapsed="false">
      <c r="A1" s="7" t="s">
        <v>28</v>
      </c>
      <c r="B1" s="7"/>
      <c r="C1" s="7"/>
    </row>
    <row r="2" customFormat="false" ht="15" hidden="false" customHeight="false" outlineLevel="0" collapsed="false">
      <c r="A2" s="8" t="s">
        <v>29</v>
      </c>
      <c r="B2" s="8"/>
      <c r="C2" s="8"/>
    </row>
    <row r="4" customFormat="false" ht="15" hidden="false" customHeight="false" outlineLevel="0" collapsed="false">
      <c r="A4" s="9" t="s">
        <v>30</v>
      </c>
      <c r="B4" s="9" t="s">
        <v>31</v>
      </c>
      <c r="C4" s="9" t="s">
        <v>32</v>
      </c>
    </row>
    <row r="5" customFormat="false" ht="15" hidden="false" customHeight="false" outlineLevel="0" collapsed="false">
      <c r="A5" s="17" t="str">
        <f aca="false">Setup!$B$4</f>
        <v>Alex</v>
      </c>
      <c r="B5" s="17" t="n">
        <f aca="false">SUM('Weekend Challenge'!G5:G34)</f>
        <v>1</v>
      </c>
      <c r="C5" s="17" t="n">
        <f aca="false">COUNTIF('Daily Log'!C5:C60,"Y")</f>
        <v>1</v>
      </c>
    </row>
    <row r="6" customFormat="false" ht="15" hidden="false" customHeight="false" outlineLevel="0" collapsed="false">
      <c r="A6" s="17" t="str">
        <f aca="false">Setup!$B$5</f>
        <v>Sam</v>
      </c>
      <c r="B6" s="17" t="n">
        <f aca="false">SUM('Weekend Challenge'!H5:H34)</f>
        <v>1</v>
      </c>
      <c r="C6" s="17" t="n">
        <f aca="false">COUNTIF('Daily Log'!E5:E60,"Y")</f>
        <v>1</v>
      </c>
    </row>
    <row r="8" customFormat="false" ht="15" hidden="false" customHeight="false" outlineLevel="0" collapsed="false">
      <c r="A8" s="3" t="s">
        <v>33</v>
      </c>
      <c r="B8" s="18" t="str">
        <f aca="false">IF(B5=B6,"Tied",IF(B5&gt;B6,A5,A6))&amp;" — "&amp;MAX(B5,B6)&amp;" pts"</f>
        <v>Tied — 1 pts</v>
      </c>
    </row>
  </sheetData>
  <mergeCells count="2">
    <mergeCell ref="A1:C1"/>
    <mergeCell ref="A2:C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2026-09-08T16:21:28Z</dcterms:created>
  <dc:creator>openpyxl</dc:creator>
  <dc:description/>
  <dc:language>en-US</dc:language>
  <cp:lastModifiedBy/>
  <dcterms:modified xsi:type="dcterms:W3CDTF">2026-09-08T16:21:32Z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